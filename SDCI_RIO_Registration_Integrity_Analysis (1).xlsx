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ve NOV + Open Complaint" sheetId="2" state="visible" r:id="rId2"/>
    <sheet xmlns:r="http://schemas.openxmlformats.org/officeDocument/2006/relationships" name="7910 Rainier Ave S — Histo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name val="Arial"/>
      <b val="1"/>
      <color rgb="001A1A2E"/>
      <sz val="14"/>
    </font>
    <font>
      <name val="Arial"/>
      <color rgb="00888888"/>
      <sz val="9"/>
    </font>
    <font>
      <name val="Arial"/>
      <b val="1"/>
      <color rgb="00FFFFFF"/>
      <sz val="9"/>
    </font>
    <font>
      <name val="Arial"/>
      <color rgb="00000000"/>
      <sz val="9"/>
    </font>
    <font>
      <name val="Arial"/>
      <b val="1"/>
      <color rgb="00000000"/>
      <sz val="9"/>
    </font>
    <font>
      <name val="Arial"/>
      <b val="1"/>
      <color rgb="001565C0"/>
      <sz val="10"/>
    </font>
    <font>
      <name val="Arial"/>
      <color rgb="00000000"/>
      <sz val="11"/>
    </font>
    <font>
      <name val="Arial"/>
      <color rgb="00666666"/>
      <sz val="8"/>
    </font>
    <font>
      <name val="Arial"/>
      <color rgb="00555555"/>
      <sz val="9"/>
    </font>
    <font>
      <name val="Arial"/>
      <b val="1"/>
      <color rgb="00FFFFFF"/>
      <sz val="10"/>
    </font>
    <font>
      <name val="Arial"/>
      <b val="1"/>
      <color rgb="00C0392B"/>
      <sz val="9"/>
    </font>
    <font>
      <name val="Arial"/>
      <color rgb="00333333"/>
      <sz val="8"/>
    </font>
    <font>
      <name val="Arial"/>
      <b val="1"/>
      <color rgb="001A1A2E"/>
      <sz val="13"/>
    </font>
    <font>
      <name val="Arial"/>
      <i val="1"/>
      <color rgb="00888888"/>
      <sz val="8"/>
    </font>
    <font>
      <name val="Arial"/>
      <b val="1"/>
      <color rgb="00C0392B"/>
      <sz val="10"/>
    </font>
    <font>
      <name val="Arial"/>
      <color rgb="00555555"/>
      <sz val="8"/>
    </font>
    <font>
      <name val="Arial"/>
      <color rgb="00000000"/>
      <sz val="8"/>
    </font>
    <font>
      <name val="Arial"/>
      <color rgb="00333333"/>
      <sz val="9"/>
    </font>
    <font>
      <name val="Arial"/>
      <b val="1"/>
      <color rgb="00B8671A"/>
      <sz val="9"/>
    </font>
    <font>
      <name val="Arial"/>
      <b val="1"/>
      <color rgb="00333333"/>
      <sz val="9"/>
    </font>
    <font>
      <name val="Arial"/>
      <b val="1"/>
      <color rgb="00B8671A"/>
      <sz val="10"/>
    </font>
    <font>
      <name val="Arial"/>
      <b val="1"/>
      <color rgb="00333333"/>
      <sz val="10"/>
    </font>
    <font>
      <name val="Arial"/>
      <b val="1"/>
      <color rgb="00000000"/>
      <sz val="8"/>
    </font>
    <font>
      <name val="Arial"/>
      <i val="1"/>
      <color rgb="00555555"/>
      <sz val="9"/>
    </font>
    <font>
      <name val="Arial"/>
      <color rgb="00444444"/>
      <sz val="8"/>
    </font>
    <font>
      <name val="Arial"/>
      <i val="1"/>
      <color rgb="00333333"/>
      <sz val="9"/>
    </font>
  </fonts>
  <fills count="9">
    <fill>
      <patternFill/>
    </fill>
    <fill>
      <patternFill patternType="gray125"/>
    </fill>
    <fill>
      <patternFill patternType="solid">
        <fgColor rgb="002C3E50"/>
      </patternFill>
    </fill>
    <fill>
      <patternFill patternType="solid">
        <fgColor rgb="00FFFFFF"/>
      </patternFill>
    </fill>
    <fill>
      <patternFill patternType="solid">
        <fgColor rgb="00F5F5F5"/>
      </patternFill>
    </fill>
    <fill>
      <patternFill patternType="solid">
        <fgColor rgb="005D6D7E"/>
      </patternFill>
    </fill>
    <fill>
      <patternFill patternType="solid">
        <fgColor rgb="00FDECEA"/>
      </patternFill>
    </fill>
    <fill>
      <patternFill patternType="solid">
        <fgColor rgb="00FFF5F5"/>
      </patternFill>
    </fill>
    <fill>
      <patternFill patternType="solid">
        <fgColor rgb="00FEF3C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4" fillId="4" borderId="1" applyAlignment="1" pivotButton="0" quotePrefix="0" xfId="0">
      <alignment horizontal="left" vertical="center" wrapText="1"/>
    </xf>
    <xf numFmtId="0" fontId="6" fillId="4" borderId="1" applyAlignment="1" pivotButton="0" quotePrefix="0" xfId="0">
      <alignment horizontal="center" vertical="center" wrapText="1"/>
    </xf>
    <xf numFmtId="164" fontId="9" fillId="4" borderId="1" applyAlignment="1" pivotButton="0" quotePrefix="0" xfId="0">
      <alignment horizontal="center" vertical="center"/>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164" fontId="9" fillId="3" borderId="1" applyAlignment="1" pivotButton="0" quotePrefix="0" xfId="0">
      <alignment horizontal="center" vertical="center"/>
    </xf>
    <xf numFmtId="0" fontId="10" fillId="5" borderId="0" applyAlignment="1" pivotButton="0" quotePrefix="0" xfId="0">
      <alignment horizontal="left" vertical="center"/>
    </xf>
    <xf numFmtId="0" fontId="11" fillId="6" borderId="1" applyAlignment="1" pivotButton="0" quotePrefix="0" xfId="0">
      <alignment horizontal="left" vertical="top" wrapText="1"/>
    </xf>
    <xf numFmtId="0" fontId="12" fillId="6" borderId="0" applyAlignment="1" pivotButton="0" quotePrefix="0" xfId="0">
      <alignment horizontal="left" vertical="top" wrapText="1"/>
    </xf>
    <xf numFmtId="0" fontId="11" fillId="7" borderId="1" applyAlignment="1" pivotButton="0" quotePrefix="0" xfId="0">
      <alignment horizontal="left" vertical="top" wrapText="1"/>
    </xf>
    <xf numFmtId="0" fontId="12" fillId="7" borderId="0" applyAlignment="1" pivotButton="0" quotePrefix="0" xfId="0">
      <alignment horizontal="left" vertical="top" wrapText="1"/>
    </xf>
    <xf numFmtId="0" fontId="13" fillId="0" borderId="0" applyAlignment="1" pivotButton="0" quotePrefix="0" xfId="0">
      <alignment horizontal="left" vertical="center"/>
    </xf>
    <xf numFmtId="0" fontId="14" fillId="0" borderId="0" pivotButton="0" quotePrefix="0" xfId="0"/>
    <xf numFmtId="0" fontId="5" fillId="6" borderId="1" applyAlignment="1" pivotButton="0" quotePrefix="0" xfId="0">
      <alignment horizontal="left" vertical="center" wrapText="1"/>
    </xf>
    <xf numFmtId="0" fontId="15" fillId="6" borderId="1" applyAlignment="1" pivotButton="0" quotePrefix="0" xfId="0">
      <alignment horizontal="center" vertical="center"/>
    </xf>
    <xf numFmtId="0" fontId="4" fillId="6" borderId="1" applyAlignment="1" pivotButton="0" quotePrefix="0" xfId="0">
      <alignment horizontal="center" vertical="center" wrapText="1"/>
    </xf>
    <xf numFmtId="0" fontId="11" fillId="6" borderId="1" applyAlignment="1" pivotButton="0" quotePrefix="0" xfId="0">
      <alignment horizontal="center" vertical="center"/>
    </xf>
    <xf numFmtId="0" fontId="2" fillId="6" borderId="1" applyAlignment="1" pivotButton="0" quotePrefix="0" xfId="0">
      <alignment horizontal="center" vertical="center"/>
    </xf>
    <xf numFmtId="0" fontId="16" fillId="6" borderId="1" applyAlignment="1" pivotButton="0" quotePrefix="0" xfId="0">
      <alignment horizontal="left" vertical="center" wrapText="1"/>
    </xf>
    <xf numFmtId="0" fontId="17" fillId="6" borderId="1" applyAlignment="1" pivotButton="0" quotePrefix="0" xfId="0">
      <alignment horizontal="left" vertical="center" wrapText="1"/>
    </xf>
    <xf numFmtId="0" fontId="18" fillId="6" borderId="1" applyAlignment="1" pivotButton="0" quotePrefix="0" xfId="0">
      <alignment horizontal="center" vertical="center"/>
    </xf>
    <xf numFmtId="0" fontId="19" fillId="6" borderId="1" applyAlignment="1" pivotButton="0" quotePrefix="0" xfId="0">
      <alignment horizontal="center" vertical="center"/>
    </xf>
    <xf numFmtId="0" fontId="20" fillId="6" borderId="1" applyAlignment="1" pivotButton="0" quotePrefix="0" xfId="0">
      <alignment horizontal="center" vertical="center"/>
    </xf>
    <xf numFmtId="0" fontId="21" fillId="6" borderId="1" applyAlignment="1" pivotButton="0" quotePrefix="0" xfId="0">
      <alignment horizontal="center" vertical="center"/>
    </xf>
    <xf numFmtId="0" fontId="22" fillId="3" borderId="1" applyAlignment="1" pivotButton="0" quotePrefix="0" xfId="0">
      <alignment horizontal="center" vertical="center"/>
    </xf>
    <xf numFmtId="0" fontId="11" fillId="3" borderId="1" applyAlignment="1" pivotButton="0" quotePrefix="0" xfId="0">
      <alignment horizontal="center" vertical="center"/>
    </xf>
    <xf numFmtId="0" fontId="2" fillId="3" borderId="1" applyAlignment="1" pivotButton="0" quotePrefix="0" xfId="0">
      <alignment horizontal="center" vertical="center"/>
    </xf>
    <xf numFmtId="0" fontId="16" fillId="3" borderId="1" applyAlignment="1" pivotButton="0" quotePrefix="0" xfId="0">
      <alignment horizontal="left" vertical="center" wrapText="1"/>
    </xf>
    <xf numFmtId="0" fontId="17" fillId="3" borderId="1" applyAlignment="1" pivotButton="0" quotePrefix="0" xfId="0">
      <alignment horizontal="left" vertical="center" wrapText="1"/>
    </xf>
    <xf numFmtId="0" fontId="18" fillId="3" borderId="1" applyAlignment="1" pivotButton="0" quotePrefix="0" xfId="0">
      <alignment horizontal="center" vertical="center"/>
    </xf>
    <xf numFmtId="0" fontId="19" fillId="3" borderId="1" applyAlignment="1" pivotButton="0" quotePrefix="0" xfId="0">
      <alignment horizontal="center" vertical="center"/>
    </xf>
    <xf numFmtId="0" fontId="23" fillId="0" borderId="0" applyAlignment="1" pivotButton="0" quotePrefix="0" xfId="0">
      <alignment horizontal="left" vertical="center" wrapText="1"/>
    </xf>
    <xf numFmtId="0" fontId="17" fillId="6" borderId="0" applyAlignment="1" pivotButton="0" quotePrefix="0" xfId="0">
      <alignment horizontal="left" vertical="center" wrapText="1"/>
    </xf>
    <xf numFmtId="0" fontId="17" fillId="8" borderId="0" applyAlignment="1" pivotButton="0" quotePrefix="0" xfId="0">
      <alignment horizontal="left" vertical="center" wrapText="1"/>
    </xf>
    <xf numFmtId="0" fontId="24" fillId="0" borderId="0" pivotButton="0" quotePrefix="0" xfId="0"/>
    <xf numFmtId="0" fontId="25" fillId="3" borderId="1" applyAlignment="1" pivotButton="0" quotePrefix="0" xfId="0">
      <alignment horizontal="left" vertical="center" wrapText="1"/>
    </xf>
    <xf numFmtId="0" fontId="18" fillId="3" borderId="1" applyAlignment="1" pivotButton="0" quotePrefix="0" xfId="0">
      <alignment horizontal="left" vertical="center" wrapText="1"/>
    </xf>
    <xf numFmtId="0" fontId="4"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25" fillId="8" borderId="1" applyAlignment="1" pivotButton="0" quotePrefix="0" xfId="0">
      <alignment horizontal="left" vertical="center" wrapText="1"/>
    </xf>
    <xf numFmtId="0" fontId="19" fillId="8" borderId="1" applyAlignment="1" pivotButton="0" quotePrefix="0" xfId="0">
      <alignment horizontal="left" vertical="center" wrapText="1"/>
    </xf>
    <xf numFmtId="0" fontId="17" fillId="8" borderId="1" applyAlignment="1" pivotButton="0" quotePrefix="0" xfId="0">
      <alignment horizontal="left" vertical="center" wrapText="1"/>
    </xf>
    <xf numFmtId="0" fontId="4" fillId="4" borderId="1" applyAlignment="1" pivotButton="0" quotePrefix="0" xfId="0">
      <alignment horizontal="center" vertical="center" wrapText="1"/>
    </xf>
    <xf numFmtId="0" fontId="25" fillId="4" borderId="1" applyAlignment="1" pivotButton="0" quotePrefix="0" xfId="0">
      <alignment horizontal="left" vertical="center" wrapText="1"/>
    </xf>
    <xf numFmtId="0" fontId="18" fillId="4" borderId="1" applyAlignment="1" pivotButton="0" quotePrefix="0" xfId="0">
      <alignment horizontal="left" vertical="center" wrapText="1"/>
    </xf>
    <xf numFmtId="0" fontId="17"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26"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38" customWidth="1" min="1" max="1"/>
    <col width="18" customWidth="1" min="2" max="2"/>
    <col width="18" customWidth="1" min="3" max="3"/>
    <col width="18" customWidth="1" min="4" max="4"/>
    <col width="18" customWidth="1" min="5" max="5"/>
  </cols>
  <sheetData>
    <row r="1" ht="30" customHeight="1">
      <c r="A1" s="1" t="inlineStr">
        <is>
          <t>SDCI LT Enforcement — RIO Registration Integrity Analysis</t>
        </is>
      </c>
    </row>
    <row r="2">
      <c r="A2" s="2" t="inlineStr">
        <is>
          <t>Source: LLT_2025.csv (full year, 17,729 records) · Analysis date: March 13, 2026</t>
        </is>
      </c>
    </row>
    <row r="3" ht="8" customHeight="1"/>
    <row r="4" ht="24" customHeight="1">
      <c r="A4" s="3" t="inlineStr">
        <is>
          <t>Metric</t>
        </is>
      </c>
      <c r="B4" s="3" t="inlineStr">
        <is>
          <t>Count</t>
        </is>
      </c>
      <c r="C4" s="3" t="inlineStr">
        <is>
          <t>Share of Total</t>
        </is>
      </c>
      <c r="D4" s="3" t="inlineStr">
        <is>
          <t>Flag</t>
        </is>
      </c>
      <c r="E4" s="3" t="inlineStr">
        <is>
          <t>Source</t>
        </is>
      </c>
    </row>
    <row r="5">
      <c r="A5" s="4" t="inlineStr">
        <is>
          <t>Total LT records in dataset</t>
        </is>
      </c>
      <c r="B5" s="5" t="n">
        <v>17729</v>
      </c>
      <c r="C5" s="6" t="inlineStr">
        <is>
          <t>—</t>
        </is>
      </c>
      <c r="D5" s="7" t="inlineStr"/>
      <c r="E5" s="8" t="inlineStr">
        <is>
          <t>LLT_2025.csv full</t>
        </is>
      </c>
    </row>
    <row r="6">
      <c r="A6" s="9" t="inlineStr">
        <is>
          <t>LT-relevant complaints (CP)</t>
        </is>
      </c>
      <c r="B6" s="10" t="n">
        <v>15973</v>
      </c>
      <c r="C6" s="11">
        <f>B6/B5</f>
        <v/>
      </c>
      <c r="D6" s="12" t="inlineStr"/>
      <c r="E6" s="13" t="inlineStr"/>
    </row>
    <row r="7">
      <c r="A7" s="4" t="inlineStr">
        <is>
          <t>Housing enforcement records (VI)</t>
        </is>
      </c>
      <c r="B7" s="5" t="n">
        <v>969</v>
      </c>
      <c r="C7" s="14">
        <f>B7/B5</f>
        <v/>
      </c>
      <c r="D7" s="7" t="inlineStr"/>
      <c r="E7" s="8" t="inlineStr"/>
    </row>
    <row r="8">
      <c r="A8" s="9" t="inlineStr">
        <is>
          <t>Housing VI records — blank type (HBMC)</t>
        </is>
      </c>
      <c r="B8" s="10" t="n">
        <v>226</v>
      </c>
      <c r="C8" s="11">
        <f>B8/B7</f>
        <v/>
      </c>
      <c r="D8" s="12" t="inlineStr"/>
      <c r="E8" s="13" t="inlineStr">
        <is>
          <t>Core enforcement records</t>
        </is>
      </c>
    </row>
    <row r="9">
      <c r="A9" s="4" t="inlineStr">
        <is>
          <t>Active housing NOVs (NOV Issued/Initiated/Under Inv.)</t>
        </is>
      </c>
      <c r="B9" s="5" t="n">
        <v>77</v>
      </c>
      <c r="C9" s="14">
        <f>B9/B8</f>
        <v/>
      </c>
      <c r="D9" s="7" t="inlineStr">
        <is>
          <t>⚠</t>
        </is>
      </c>
      <c r="E9" s="8" t="inlineStr">
        <is>
          <t>Unresolved violations</t>
        </is>
      </c>
    </row>
    <row r="10">
      <c r="A10" s="9" t="inlineStr">
        <is>
          <t>Properties: active NOV + open housing complaint</t>
        </is>
      </c>
      <c r="B10" s="10" t="n">
        <v>25</v>
      </c>
      <c r="C10" s="11">
        <f>B10/B9</f>
        <v/>
      </c>
      <c r="D10" s="12" t="inlineStr">
        <is>
          <t>🔴</t>
        </is>
      </c>
      <c r="E10" s="13" t="inlineStr">
        <is>
          <t>Key concern — see Detail tab</t>
        </is>
      </c>
    </row>
    <row r="11">
      <c r="A11" s="4" t="inlineStr">
        <is>
          <t>Properties with 2+ housing VIs in 2025 (repeat)</t>
        </is>
      </c>
      <c r="B11" s="5" t="n">
        <v>14</v>
      </c>
      <c r="C11" s="14">
        <f>B11/B8</f>
        <v/>
      </c>
      <c r="D11" s="7" t="inlineStr">
        <is>
          <t>⚠</t>
        </is>
      </c>
      <c r="E11" s="8" t="inlineStr">
        <is>
          <t>Chronic non-compliance</t>
        </is>
      </c>
    </row>
    <row r="12">
      <c r="A12" s="9" t="inlineStr">
        <is>
          <t>Properties: repeat + active NOV + open complaint</t>
        </is>
      </c>
      <c r="B12" s="10" t="n">
        <v>7</v>
      </c>
      <c r="C12" s="11">
        <f>B12/B11</f>
        <v/>
      </c>
      <c r="D12" s="12" t="inlineStr">
        <is>
          <t>🔴</t>
        </is>
      </c>
      <c r="E12" s="13" t="inlineStr">
        <is>
          <t>Highest concern</t>
        </is>
      </c>
    </row>
    <row r="13" ht="10" customHeight="1"/>
    <row r="14" ht="22" customHeight="1">
      <c r="A14" s="15" t="inlineStr">
        <is>
          <t>KEY FINDINGS</t>
        </is>
      </c>
    </row>
    <row r="15" ht="52" customHeight="1">
      <c r="A15" s="16" t="inlineStr">
        <is>
          <t>Finding 1 — RIO renewal without verified compliance</t>
        </is>
      </c>
      <c r="B15" s="17" t="inlineStr">
        <is>
          <t>25 properties had an active housing NOV (violation documented by SDCI inspector) PLUS at least one open habitability complaint as of year-end 2025. RIO registration renewals at these addresses cannot be confirmed as conditioned on violation resolution. The public dataset does not contain RIO renewal dates, but SDCI's own policy requires compliance before renewal.</t>
        </is>
      </c>
    </row>
    <row r="16" ht="52" customHeight="1">
      <c r="A16" s="18" t="inlineStr">
        <is>
          <t>Finding 2 — Repeat violators with ongoing open issues</t>
        </is>
      </c>
      <c r="B16" s="19" t="inlineStr">
        <is>
          <t>7 of the 25 properties had 2 or more housing VI enforcement records in 2025 alone, indicating chronic non-compliance. These include 800 Seneca St (6 VIs, 1 active NOV, 7 open complaints), 9400 Rainier Ave S (3 VIs, roach infestation cycle), and 312 2nd Ave W (3 VIs, mold + notice violations).</t>
        </is>
      </c>
    </row>
    <row r="17" ht="52" customHeight="1">
      <c r="A17" s="16" t="inlineStr">
        <is>
          <t>Finding 3 — NOV issued; new complaints emerged after</t>
        </is>
      </c>
      <c r="B17" s="17" t="inlineStr">
        <is>
          <t>At 15 of the 25 properties, new habitability complaints were filed AFTER the NOV was issued — meaning the NOV did not resolve the underlying conditions. This is inconsistent with SDCI's claim of near-parity between complaints made and addressed.</t>
        </is>
      </c>
    </row>
    <row r="18" ht="52" customHeight="1">
      <c r="A18" s="18" t="inlineStr">
        <is>
          <t>Finding 4 — 7910 Rainier Ave S (from RecordList)</t>
        </is>
      </c>
      <c r="B18" s="19" t="inlineStr">
        <is>
          <t>The property-specific RecordList shows boiler equipment flagged as "Temporarily Out of Service" and "Operating Without Certificate" since 1988. A new NOV (1062255-VI) was issued Dec 24, 2025 for rodents/insects/heat. Recurring complaints since 2006 suggest RIO registration has been renewed repeatedly despite a chronic non-compliance pattern.</t>
        </is>
      </c>
    </row>
  </sheetData>
  <mergeCells count="7">
    <mergeCell ref="B17:E17"/>
    <mergeCell ref="B18:E18"/>
    <mergeCell ref="A2:E2"/>
    <mergeCell ref="B16:E16"/>
    <mergeCell ref="B15:E15"/>
    <mergeCell ref="A1:E1"/>
    <mergeCell ref="A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showGridLines="0" workbookViewId="0">
      <selection activeCell="A1" sqref="A1"/>
    </sheetView>
  </sheetViews>
  <sheetFormatPr baseColWidth="8" defaultRowHeight="15"/>
  <cols>
    <col width="32" customWidth="1" min="1" max="1"/>
    <col width="10" customWidth="1" min="2" max="2"/>
    <col width="11" customWidth="1" min="3" max="3"/>
    <col width="10" customWidth="1" min="4" max="4"/>
    <col width="14" customWidth="1" min="5" max="5"/>
    <col width="14" customWidth="1" min="6" max="6"/>
    <col width="8" customWidth="1" min="7" max="7"/>
    <col width="8" customWidth="1" min="8" max="8"/>
    <col width="22" customWidth="1" min="9" max="9"/>
    <col width="22" customWidth="1" min="10" max="10"/>
    <col width="28" customWidth="1" min="11" max="11"/>
    <col width="28" customWidth="1" min="12" max="12"/>
  </cols>
  <sheetData>
    <row r="1" ht="30" customHeight="1">
      <c r="A1" s="20" t="inlineStr">
        <is>
          <t>Properties with Active Housing NOV AND Open Housing Complaint — 2025</t>
        </is>
      </c>
    </row>
    <row r="2">
      <c r="A2" s="21" t="inlineStr">
        <is>
          <t>Active NOV = status is NOV Issued, Initiated, or Under Investigation on the VI record. Open complaint = CP status is Under Investigation or Initiated.</t>
        </is>
      </c>
    </row>
    <row r="3" ht="36" customHeight="1">
      <c r="A3" s="3" t="inlineStr">
        <is>
          <t>Address</t>
        </is>
      </c>
      <c r="B3" s="3" t="inlineStr">
        <is>
          <t>Total VIs
2025</t>
        </is>
      </c>
      <c r="C3" s="3" t="inlineStr">
        <is>
          <t>Active
NOVs</t>
        </is>
      </c>
      <c r="D3" s="3" t="inlineStr">
        <is>
          <t>Open
CPs</t>
        </is>
      </c>
      <c r="E3" s="3" t="inlineStr">
        <is>
          <t>Earliest
NOV Date</t>
        </is>
      </c>
      <c r="F3" s="3" t="inlineStr">
        <is>
          <t>Earliest Open
CP Date</t>
        </is>
      </c>
      <c r="G3" s="3" t="inlineStr">
        <is>
          <t>Repeat
Violator</t>
        </is>
      </c>
      <c r="H3" s="3" t="inlineStr">
        <is>
          <t>NOV then
new CP</t>
        </is>
      </c>
      <c r="I3" s="3" t="inlineStr">
        <is>
          <t>NOV Record(s)</t>
        </is>
      </c>
      <c r="J3" s="3" t="inlineStr">
        <is>
          <t>Open CP Record(s)</t>
        </is>
      </c>
      <c r="K3" s="3" t="inlineStr">
        <is>
          <t>NOV Issue Summary</t>
        </is>
      </c>
      <c r="L3" s="3" t="inlineStr">
        <is>
          <t>Complaint Summary</t>
        </is>
      </c>
    </row>
    <row r="4" ht="48" customHeight="1">
      <c r="A4" s="22" t="inlineStr">
        <is>
          <t>800 Seneca St</t>
        </is>
      </c>
      <c r="B4" s="23" t="n">
        <v>6</v>
      </c>
      <c r="C4" s="24" t="n">
        <v>1</v>
      </c>
      <c r="D4" s="25" t="n">
        <v>7</v>
      </c>
      <c r="E4" s="24" t="inlineStr">
        <is>
          <t>2025 JUL 1</t>
        </is>
      </c>
      <c r="F4" s="24" t="inlineStr">
        <is>
          <t>2025 AUG 0</t>
        </is>
      </c>
      <c r="G4" s="25" t="inlineStr">
        <is>
          <t>YES</t>
        </is>
      </c>
      <c r="H4" s="26" t="inlineStr">
        <is>
          <t>no</t>
        </is>
      </c>
      <c r="I4" s="27" t="inlineStr">
        <is>
          <t>1061318-VI</t>
        </is>
      </c>
      <c r="J4" s="27" t="inlineStr">
        <is>
          <t>002553-25CP, 010071-25CP, 011015-25CP</t>
        </is>
      </c>
      <c r="K4" s="28" t="inlineStr">
        <is>
          <t>THIS APARTMENT NAMED CIELO, LOCATION 800 SENECA STREET, HAS SO MANY ISSUES, THE ELEVATORS DOESN'T WO</t>
        </is>
      </c>
      <c r="L4" s="28" t="inlineStr">
        <is>
          <t>MANAGEMENT INFORMED ME THAT I NEED TO VACATE THE UNITAS OF THE END OF THE MONTH.; JUNK STORAGE IN HALLWAY TRASH SMELLS. GARBAGE CHUTE IS BROKEN BEEN DOWN FOR 26DAYS, ENTIRE BLDG SMEL</t>
        </is>
      </c>
    </row>
    <row r="5" ht="48" customHeight="1">
      <c r="A5" s="22" t="inlineStr">
        <is>
          <t>600 W Olympic Pl</t>
        </is>
      </c>
      <c r="B5" s="23" t="n">
        <v>4</v>
      </c>
      <c r="C5" s="24" t="n">
        <v>1</v>
      </c>
      <c r="D5" s="29" t="n">
        <v>1</v>
      </c>
      <c r="E5" s="24" t="inlineStr">
        <is>
          <t>2025 AUG 2</t>
        </is>
      </c>
      <c r="F5" s="24" t="inlineStr">
        <is>
          <t>2025 NOV 2</t>
        </is>
      </c>
      <c r="G5" s="25" t="inlineStr">
        <is>
          <t>YES</t>
        </is>
      </c>
      <c r="H5" s="30" t="inlineStr">
        <is>
          <t>YES</t>
        </is>
      </c>
      <c r="I5" s="27" t="inlineStr">
        <is>
          <t>1061586-VI</t>
        </is>
      </c>
      <c r="J5" s="27" t="inlineStr">
        <is>
          <t>014759-25CP</t>
        </is>
      </c>
      <c r="K5" s="28" t="inlineStr">
        <is>
          <t>CEILING IN LIVING ROOM LEAKING WATER IN TWO PLACES THIS MORNING, AFTER LITTLE RAIN FROM LAST NIGHT.</t>
        </is>
      </c>
      <c r="L5" s="28" t="inlineStr">
        <is>
          <t>TENANT HAS HAD TO MOVE TO A SMALLER UNIT BEACUSE OF A WATER LEAK IN UNIT THAT HAS BEEN A PROBLEM FOR</t>
        </is>
      </c>
    </row>
    <row r="6" ht="48" customHeight="1">
      <c r="A6" s="22" t="inlineStr">
        <is>
          <t>9400 Rainier Ave S</t>
        </is>
      </c>
      <c r="B6" s="23" t="n">
        <v>3</v>
      </c>
      <c r="C6" s="24" t="n">
        <v>1</v>
      </c>
      <c r="D6" s="31" t="n">
        <v>3</v>
      </c>
      <c r="E6" s="24" t="inlineStr">
        <is>
          <t>2025 JUN 2</t>
        </is>
      </c>
      <c r="F6" s="24" t="inlineStr">
        <is>
          <t>2025 DEC 0</t>
        </is>
      </c>
      <c r="G6" s="25" t="inlineStr">
        <is>
          <t>YES</t>
        </is>
      </c>
      <c r="H6" s="26" t="inlineStr">
        <is>
          <t>no</t>
        </is>
      </c>
      <c r="I6" s="27" t="inlineStr">
        <is>
          <t>1061158-VI</t>
        </is>
      </c>
      <c r="J6" s="27" t="inlineStr">
        <is>
          <t>015265-25CP, 015812-25CP, 015976-25CP</t>
        </is>
      </c>
      <c r="K6" s="28" t="inlineStr">
        <is>
          <t>ROACH INFESTATION - EXTERMINATORS HAVE NOT BEEN ABLE FIX THIS PROBLEM IT IS EXTREMELY SEVERE &amp; UN-HE</t>
        </is>
      </c>
      <c r="L6" s="28" t="inlineStr">
        <is>
          <t>ON OCTOBER 2 2025 I RECEIVED NOTIFICATION FROM MY PROPERTY MANAGER THAT MY 72 YEAR OLD DISABLED MOTH; TENANT SAYS THAT MANAGEMENT IS HARASSING HER BY LEAVING NONPAYMENT NOTICES ON HER DOOR.  TENANT HA</t>
        </is>
      </c>
    </row>
    <row r="7" ht="48" customHeight="1">
      <c r="A7" s="22" t="inlineStr">
        <is>
          <t>312 2Nd Ave W</t>
        </is>
      </c>
      <c r="B7" s="23" t="n">
        <v>3</v>
      </c>
      <c r="C7" s="24" t="n">
        <v>1</v>
      </c>
      <c r="D7" s="29" t="n">
        <v>2</v>
      </c>
      <c r="E7" s="24" t="inlineStr">
        <is>
          <t>2025 APR 1</t>
        </is>
      </c>
      <c r="F7" s="24" t="inlineStr">
        <is>
          <t>2025 JUL 1</t>
        </is>
      </c>
      <c r="G7" s="25" t="inlineStr">
        <is>
          <t>YES</t>
        </is>
      </c>
      <c r="H7" s="30" t="inlineStr">
        <is>
          <t>YES</t>
        </is>
      </c>
      <c r="I7" s="27" t="inlineStr">
        <is>
          <t>1060729-VI</t>
        </is>
      </c>
      <c r="J7" s="27" t="inlineStr">
        <is>
          <t>002653-25CP, 008794-25CP</t>
        </is>
      </c>
      <c r="K7" s="28" t="inlineStr">
        <is>
          <t>BEEN WAITING ABOUT 7 WEEKS FOR A REPAIR OF THE FIREPLACE.</t>
        </is>
      </c>
      <c r="L7" s="28" t="inlineStr">
        <is>
          <t>RENT INCREASED WITHOUT A 180-DAY NOTICE.; MAINTENANCE PAINTING WITHOUTNOTICE, FUMES MAKING FAMILYILL.  TENANT RIGHTS CONCERNS</t>
        </is>
      </c>
    </row>
    <row r="8" ht="48" customHeight="1">
      <c r="A8" s="22" t="inlineStr">
        <is>
          <t>1020 University St</t>
        </is>
      </c>
      <c r="B8" s="23" t="n">
        <v>3</v>
      </c>
      <c r="C8" s="24" t="n">
        <v>1</v>
      </c>
      <c r="D8" s="29" t="n">
        <v>1</v>
      </c>
      <c r="E8" s="24" t="inlineStr">
        <is>
          <t>2025 JAN 2</t>
        </is>
      </c>
      <c r="F8" s="24" t="inlineStr">
        <is>
          <t>2025 DEC 0</t>
        </is>
      </c>
      <c r="G8" s="25" t="inlineStr">
        <is>
          <t>YES</t>
        </is>
      </c>
      <c r="H8" s="26" t="inlineStr">
        <is>
          <t>no</t>
        </is>
      </c>
      <c r="I8" s="27" t="inlineStr">
        <is>
          <t>1060157-VI</t>
        </is>
      </c>
      <c r="J8" s="27" t="inlineStr">
        <is>
          <t>015164-25CP</t>
        </is>
      </c>
      <c r="K8" s="28" t="inlineStr">
        <is>
          <t>NO WORKING REFRIGERATOR FOR A WEEK</t>
        </is>
      </c>
      <c r="L8" s="28" t="inlineStr">
        <is>
          <t>I AM WRITING TO REPORT WATER DAMAGE AND UNSAFE LIVING CONDITIONS CAUSED BY A LEAK FROM THE UPSTAIRS</t>
        </is>
      </c>
    </row>
    <row r="9" ht="48" customHeight="1">
      <c r="A9" s="22" t="inlineStr">
        <is>
          <t>2114 E Fir St</t>
        </is>
      </c>
      <c r="B9" s="32" t="n">
        <v>2</v>
      </c>
      <c r="C9" s="24" t="n">
        <v>1</v>
      </c>
      <c r="D9" s="29" t="n">
        <v>2</v>
      </c>
      <c r="E9" s="24" t="inlineStr">
        <is>
          <t>2025 OCT 2</t>
        </is>
      </c>
      <c r="F9" s="24" t="inlineStr">
        <is>
          <t>2025 DEC 3</t>
        </is>
      </c>
      <c r="G9" s="25" t="inlineStr">
        <is>
          <t>YES</t>
        </is>
      </c>
      <c r="H9" s="26" t="inlineStr">
        <is>
          <t>no</t>
        </is>
      </c>
      <c r="I9" s="27" t="inlineStr">
        <is>
          <t>1061926-VI</t>
        </is>
      </c>
      <c r="J9" s="27" t="inlineStr">
        <is>
          <t>007603-25CP, 016130-25CP</t>
        </is>
      </c>
      <c r="K9" s="28" t="inlineStr">
        <is>
          <t>I'VE BEEN A TENANT OF THIS PROPERTY SINCE 2021 AND THE OWNER HAS ATTEMPTED TO VACATE THE PROPERTY BY</t>
        </is>
      </c>
      <c r="L9" s="28" t="inlineStr">
        <is>
          <t>TRAO QUESTIONS, MOVE OUT   DUE TO LIVING CONDITIONS HERE; SQUATTING IN VACANT BUILDING. TRASH AND GARBAGE SPREAD AND STORED ON SITE.</t>
        </is>
      </c>
    </row>
    <row r="10" ht="48" customHeight="1">
      <c r="A10" s="22" t="inlineStr">
        <is>
          <t>3610 33Rd Ave S</t>
        </is>
      </c>
      <c r="B10" s="32" t="n">
        <v>2</v>
      </c>
      <c r="C10" s="24" t="n">
        <v>1</v>
      </c>
      <c r="D10" s="29" t="n">
        <v>1</v>
      </c>
      <c r="E10" s="24" t="inlineStr">
        <is>
          <t>2025 JUL 3</t>
        </is>
      </c>
      <c r="F10" s="24" t="inlineStr">
        <is>
          <t>2025 JUL 0</t>
        </is>
      </c>
      <c r="G10" s="25" t="inlineStr">
        <is>
          <t>YES</t>
        </is>
      </c>
      <c r="H10" s="26" t="inlineStr">
        <is>
          <t>no</t>
        </is>
      </c>
      <c r="I10" s="27" t="inlineStr">
        <is>
          <t>1061434-VI</t>
        </is>
      </c>
      <c r="J10" s="27" t="inlineStr">
        <is>
          <t>008441-25CP</t>
        </is>
      </c>
      <c r="K10" s="28" t="inlineStr">
        <is>
          <t>ELEVATOR IS DOWN AGAIN, THISTIME FOR 2 WEEKS</t>
        </is>
      </c>
      <c r="L10" s="28" t="inlineStr">
        <is>
          <t>ELEVATOR IS CONSISTENTLY DOWN ONGOING ISSUE. BEEN HAPPENING SINCE 4/2025. MGMT. IS AWARE. WOULD LIKE</t>
        </is>
      </c>
    </row>
    <row r="11" ht="48" customHeight="1">
      <c r="A11" s="4" t="inlineStr">
        <is>
          <t>2715 25Th Ave S</t>
        </is>
      </c>
      <c r="B11" s="33" t="n">
        <v>1</v>
      </c>
      <c r="C11" s="6" t="n">
        <v>1</v>
      </c>
      <c r="D11" s="34" t="n">
        <v>5</v>
      </c>
      <c r="E11" s="6" t="inlineStr">
        <is>
          <t>2025 DEC 0</t>
        </is>
      </c>
      <c r="F11" s="6" t="inlineStr">
        <is>
          <t>2025 AUG 2</t>
        </is>
      </c>
      <c r="G11" s="35" t="inlineStr">
        <is>
          <t>no</t>
        </is>
      </c>
      <c r="H11" s="35" t="inlineStr">
        <is>
          <t>no</t>
        </is>
      </c>
      <c r="I11" s="36" t="inlineStr">
        <is>
          <t>1062163-VI</t>
        </is>
      </c>
      <c r="J11" s="36" t="inlineStr">
        <is>
          <t>001333-25CP, 011893-25CP, 012326-25CP</t>
        </is>
      </c>
      <c r="K11" s="37" t="inlineStr">
        <is>
          <t>COCKROACHES IN TENANTS HOME, APARTMENTS ARE REFUSING TO CALL OR PAY FOR EXTERMINATOR. SMOKE DETECTOR</t>
        </is>
      </c>
      <c r="L11" s="37" t="inlineStr">
        <is>
          <t>I FILED A COMPLAINT WITHMANAGEMENT REGARDING ANEIGHBOR WHO WAS WALKINGAROUND WITH A KNIFE.  MANAGEME; NO HOT WATER FOR WEEKS. MGMT. IS AWARE NOT DOING ANYTHING. BLDG. IS NOT SECURE, DOOR IS BROKEN. HO</t>
        </is>
      </c>
    </row>
    <row r="12" ht="48" customHeight="1">
      <c r="A12" s="4" t="inlineStr">
        <is>
          <t>11501 Greenwood Ave N</t>
        </is>
      </c>
      <c r="B12" s="33" t="n">
        <v>1</v>
      </c>
      <c r="C12" s="6" t="n">
        <v>1</v>
      </c>
      <c r="D12" s="38" t="n">
        <v>2</v>
      </c>
      <c r="E12" s="6" t="inlineStr">
        <is>
          <t>2025 APR 0</t>
        </is>
      </c>
      <c r="F12" s="6" t="inlineStr">
        <is>
          <t>2025 DEC 0</t>
        </is>
      </c>
      <c r="G12" s="35" t="inlineStr">
        <is>
          <t>no</t>
        </is>
      </c>
      <c r="H12" s="39" t="inlineStr">
        <is>
          <t>YES</t>
        </is>
      </c>
      <c r="I12" s="36" t="inlineStr">
        <is>
          <t>1060625-VI</t>
        </is>
      </c>
      <c r="J12" s="36" t="inlineStr">
        <is>
          <t>015254-25CP, 015432-25CP</t>
        </is>
      </c>
      <c r="K12" s="37" t="inlineStr">
        <is>
          <t>LACK OF PROPER VENTILATION IN BATHROOMS, CRACKED DRYWALL, STANDING WATER IN WINDOWSILLS, RUSTY DOORS</t>
        </is>
      </c>
      <c r="L12" s="37" t="inlineStr">
        <is>
          <t>TENANT SAYS THERE IS MIOLD IN HER BATHROOM FROM LEAKAGE OF WATER AND CEILING DAMAGE THAT WAS NOT PRO; MOLD IN UNIT AND CEILING IS LEAKING IN THE BEDROOM/BATHROOM</t>
        </is>
      </c>
    </row>
    <row r="13" ht="48" customHeight="1">
      <c r="A13" s="4" t="inlineStr">
        <is>
          <t>201 Galer St</t>
        </is>
      </c>
      <c r="B13" s="33" t="n">
        <v>1</v>
      </c>
      <c r="C13" s="6" t="n">
        <v>1</v>
      </c>
      <c r="D13" s="38" t="n">
        <v>2</v>
      </c>
      <c r="E13" s="6" t="inlineStr">
        <is>
          <t>2025 NOV 2</t>
        </is>
      </c>
      <c r="F13" s="6" t="inlineStr">
        <is>
          <t>2025 OCT 0</t>
        </is>
      </c>
      <c r="G13" s="35" t="inlineStr">
        <is>
          <t>no</t>
        </is>
      </c>
      <c r="H13" s="39" t="inlineStr">
        <is>
          <t>YES</t>
        </is>
      </c>
      <c r="I13" s="36" t="inlineStr">
        <is>
          <t>1062105-VI</t>
        </is>
      </c>
      <c r="J13" s="36" t="inlineStr">
        <is>
          <t>015048-25CP, 013653-25CP</t>
        </is>
      </c>
      <c r="K13" s="37" t="inlineStr">
        <is>
          <t>CONSTRUCTION IN MY APARTMENT APPEARS TO BE NONCOMPLIANT WITH SEATTLE BUILDING CODES AND HAZARDOUS MA</t>
        </is>
      </c>
      <c r="L13" s="37" t="inlineStr">
        <is>
          <t>PER INSPECTOR: IT'S BEEN OVER A MONTH THAT THE CALLER HAS NOT BEEN IN THEIR APARTMENT. THE MANAGEMEN; WANTS TO TALK TO SOMEONE REGARDING 012950-25CP REGARDING TURNAROUND TIME FOR HOUSING COMPLAINT. WO</t>
        </is>
      </c>
    </row>
    <row r="14" ht="48" customHeight="1">
      <c r="A14" s="4" t="inlineStr">
        <is>
          <t>3642 33Rd Ave S</t>
        </is>
      </c>
      <c r="B14" s="33" t="n">
        <v>1</v>
      </c>
      <c r="C14" s="6" t="n">
        <v>1</v>
      </c>
      <c r="D14" s="38" t="n">
        <v>2</v>
      </c>
      <c r="E14" s="6" t="inlineStr">
        <is>
          <t>2025 JUL 2</t>
        </is>
      </c>
      <c r="F14" s="6" t="inlineStr">
        <is>
          <t>2025 DEC 2</t>
        </is>
      </c>
      <c r="G14" s="35" t="inlineStr">
        <is>
          <t>no</t>
        </is>
      </c>
      <c r="H14" s="35" t="inlineStr">
        <is>
          <t>no</t>
        </is>
      </c>
      <c r="I14" s="36" t="inlineStr">
        <is>
          <t>1061424-VI</t>
        </is>
      </c>
      <c r="J14" s="36" t="inlineStr">
        <is>
          <t>016141-25CP, 016069-25CP</t>
        </is>
      </c>
      <c r="K14" s="37" t="inlineStr">
        <is>
          <t>CEILING LEAK WAS NEVER REPAIRED; MAINTENANCE SANDED THE AREA AND REPAINTED.  THE BUBBLE IS STILL PRE</t>
        </is>
      </c>
      <c r="L14" s="37" t="inlineStr">
        <is>
          <t>ELEVATOR NOT WORKING, HAS A WHEELCHAIR AND IS STUCK IN APARTMENT. NO ACCESS TO LAUNDRY ROOM, GARBAGE; ELEVATOR DOWN, WANTS INSPECTION</t>
        </is>
      </c>
    </row>
    <row r="15" ht="48" customHeight="1">
      <c r="A15" s="4" t="inlineStr">
        <is>
          <t>5763 S Oaklawn Pl</t>
        </is>
      </c>
      <c r="B15" s="33" t="n">
        <v>1</v>
      </c>
      <c r="C15" s="6" t="n">
        <v>1</v>
      </c>
      <c r="D15" s="38" t="n">
        <v>2</v>
      </c>
      <c r="E15" s="6" t="inlineStr">
        <is>
          <t>2025 AUG 0</t>
        </is>
      </c>
      <c r="F15" s="6" t="inlineStr">
        <is>
          <t>2025 DEC 0</t>
        </is>
      </c>
      <c r="G15" s="35" t="inlineStr">
        <is>
          <t>no</t>
        </is>
      </c>
      <c r="H15" s="39" t="inlineStr">
        <is>
          <t>YES</t>
        </is>
      </c>
      <c r="I15" s="36" t="inlineStr">
        <is>
          <t>1061476-VI</t>
        </is>
      </c>
      <c r="J15" s="36" t="inlineStr">
        <is>
          <t>014302-25CP, 015055-25CP</t>
        </is>
      </c>
      <c r="K15" s="37" t="inlineStr">
        <is>
          <t>RAW SEWAGE (FECAL MATTER AND TOILET PAPER) CAME OUT OF A PIPE ONTO THE GROUND WHERE THEY ARE CURRENT</t>
        </is>
      </c>
      <c r="L15" s="37" t="inlineStr">
        <is>
          <t>LANDLORD FEELS CURRENT TENANT IS CONSTANTLY MAKING FALSE COMPLAINTS ON THE HOME AS RETALIATION FOR P; HAS QUESTIONS ABOUT LEASE RENEWAL PROCESS. WOULD LIKE CLARIFICATION TO DO THINGS PROPERLY AS OWNER</t>
        </is>
      </c>
    </row>
    <row r="16" ht="48" customHeight="1">
      <c r="A16" s="4" t="inlineStr">
        <is>
          <t>10321 Meridian Ave N</t>
        </is>
      </c>
      <c r="B16" s="33" t="n">
        <v>1</v>
      </c>
      <c r="C16" s="6" t="n">
        <v>1</v>
      </c>
      <c r="D16" s="38" t="n">
        <v>1</v>
      </c>
      <c r="E16" s="6" t="inlineStr">
        <is>
          <t>2025 MAR 2</t>
        </is>
      </c>
      <c r="F16" s="6" t="inlineStr">
        <is>
          <t>2025 DEC 0</t>
        </is>
      </c>
      <c r="G16" s="35" t="inlineStr">
        <is>
          <t>no</t>
        </is>
      </c>
      <c r="H16" s="35" t="inlineStr">
        <is>
          <t>no</t>
        </is>
      </c>
      <c r="I16" s="36" t="inlineStr">
        <is>
          <t>1060596-VI</t>
        </is>
      </c>
      <c r="J16" s="36" t="inlineStr">
        <is>
          <t>015360-25CP</t>
        </is>
      </c>
      <c r="K16" s="37" t="inlineStr">
        <is>
          <t>ON 9/18/24 I NOTICED THAT MY APARTMENT WAS LEAKING IN THE KITCHEN, I FILED A WORK ORDER TO LET THEM</t>
        </is>
      </c>
      <c r="L16" s="37" t="inlineStr">
        <is>
          <t>MY APARTMENT AT 10321 MERIDIAN AVE N, UNIT A107 FLOODED ON 9/7/25 DUE TO WATER ENTERING FROM ANOTHER</t>
        </is>
      </c>
    </row>
    <row r="17" ht="48" customHeight="1">
      <c r="A17" s="4" t="inlineStr">
        <is>
          <t>1115 S Atlantic St</t>
        </is>
      </c>
      <c r="B17" s="33" t="n">
        <v>1</v>
      </c>
      <c r="C17" s="6" t="n">
        <v>1</v>
      </c>
      <c r="D17" s="38" t="n">
        <v>1</v>
      </c>
      <c r="E17" s="6" t="inlineStr">
        <is>
          <t>2025 NOV 1</t>
        </is>
      </c>
      <c r="F17" s="6" t="inlineStr">
        <is>
          <t>2025 OCT 0</t>
        </is>
      </c>
      <c r="G17" s="35" t="inlineStr">
        <is>
          <t>no</t>
        </is>
      </c>
      <c r="H17" s="39" t="inlineStr">
        <is>
          <t>YES</t>
        </is>
      </c>
      <c r="I17" s="36" t="inlineStr">
        <is>
          <t>1062067-VI</t>
        </is>
      </c>
      <c r="J17" s="36" t="inlineStr">
        <is>
          <t>012457-25CP</t>
        </is>
      </c>
      <c r="K17" s="37" t="inlineStr">
        <is>
          <t>I AM A TENANT IN A UNIT MANAGED BY REAL PROPERTY ASSOCIATES (RPA). I AM FILING THIS COMPLAINT TO REP</t>
        </is>
      </c>
      <c r="L17" s="37" t="inlineStr">
        <is>
          <t>I AM A TENANT IN A UNIT MANAGED BY REAL PROPERTY ASSOCIATES (RPA). I AM FILING THIS COMPLAINT TO REP</t>
        </is>
      </c>
    </row>
    <row r="18" ht="48" customHeight="1">
      <c r="A18" s="4" t="inlineStr">
        <is>
          <t>12556 15Th Ave Ne</t>
        </is>
      </c>
      <c r="B18" s="33" t="n">
        <v>1</v>
      </c>
      <c r="C18" s="6" t="n">
        <v>1</v>
      </c>
      <c r="D18" s="38" t="n">
        <v>1</v>
      </c>
      <c r="E18" s="6" t="inlineStr">
        <is>
          <t>2025 DEC 0</t>
        </is>
      </c>
      <c r="F18" s="6" t="inlineStr">
        <is>
          <t>2025 NOV 2</t>
        </is>
      </c>
      <c r="G18" s="35" t="inlineStr">
        <is>
          <t>no</t>
        </is>
      </c>
      <c r="H18" s="39" t="inlineStr">
        <is>
          <t>YES</t>
        </is>
      </c>
      <c r="I18" s="36" t="inlineStr">
        <is>
          <t>1062137-VI</t>
        </is>
      </c>
      <c r="J18" s="36" t="inlineStr">
        <is>
          <t>014831-25CP</t>
        </is>
      </c>
      <c r="K18" s="37" t="inlineStr">
        <is>
          <t>OUR LAUNDRY ROOM WAS COMPLETELY UNUSABLE FOR SEVERAL MONTHS (FROM BEFORE MARCH 19TH UNTIL AUG 8TH) A</t>
        </is>
      </c>
      <c r="L18" s="37" t="inlineStr">
        <is>
          <t>ON NOV 1, I REPORTED A CEILING LEAK IN MY BEDROOM.   NO RESPONSE UNTIL NOV 4, WHEN WITH NO WARNING T</t>
        </is>
      </c>
    </row>
    <row r="19" ht="48" customHeight="1">
      <c r="A19" s="4" t="inlineStr">
        <is>
          <t>13280 Linden Ave N</t>
        </is>
      </c>
      <c r="B19" s="33" t="n">
        <v>1</v>
      </c>
      <c r="C19" s="6" t="n">
        <v>1</v>
      </c>
      <c r="D19" s="38" t="n">
        <v>1</v>
      </c>
      <c r="E19" s="6" t="inlineStr">
        <is>
          <t>2025 JUN 1</t>
        </is>
      </c>
      <c r="F19" s="6" t="inlineStr">
        <is>
          <t>2025 DEC 1</t>
        </is>
      </c>
      <c r="G19" s="35" t="inlineStr">
        <is>
          <t>no</t>
        </is>
      </c>
      <c r="H19" s="35" t="inlineStr">
        <is>
          <t>no</t>
        </is>
      </c>
      <c r="I19" s="36" t="inlineStr">
        <is>
          <t>1061134-VI</t>
        </is>
      </c>
      <c r="J19" s="36" t="inlineStr">
        <is>
          <t>015668-25CP</t>
        </is>
      </c>
      <c r="K19" s="37" t="inlineStr">
        <is>
          <t>TRASH SHUT HANDLE MISSING (7TH FLOOR), COMMON AREAS CARPET ISSUE &amp; SECURITY OF BLDG IS SAFE NEED INS</t>
        </is>
      </c>
      <c r="L19" s="37" t="inlineStr">
        <is>
          <t>SMOKE AND CHEMICAL ODORS ARE ENTERING MY APARTMENT THROUGH SHARED BUILDING INFRASTRUCTURE, LIKELY PL</t>
        </is>
      </c>
    </row>
    <row r="20" ht="48" customHeight="1">
      <c r="A20" s="4" t="inlineStr">
        <is>
          <t>14002 Linden Ave N</t>
        </is>
      </c>
      <c r="B20" s="33" t="n">
        <v>1</v>
      </c>
      <c r="C20" s="6" t="n">
        <v>1</v>
      </c>
      <c r="D20" s="38" t="n">
        <v>1</v>
      </c>
      <c r="E20" s="6" t="inlineStr">
        <is>
          <t>2025 APR 0</t>
        </is>
      </c>
      <c r="F20" s="6" t="inlineStr">
        <is>
          <t>2025 DEC 0</t>
        </is>
      </c>
      <c r="G20" s="35" t="inlineStr">
        <is>
          <t>no</t>
        </is>
      </c>
      <c r="H20" s="39" t="inlineStr">
        <is>
          <t>YES</t>
        </is>
      </c>
      <c r="I20" s="36" t="inlineStr">
        <is>
          <t>1060640-VI</t>
        </is>
      </c>
      <c r="J20" s="36" t="inlineStr">
        <is>
          <t>015808-25CP</t>
        </is>
      </c>
      <c r="K20" s="37" t="inlineStr">
        <is>
          <t>THE ON-SITE LAUNDRY ROOMMACHINES ARE FREQUENTLY BROKEN, NEVER FULLY REPAIRED.</t>
        </is>
      </c>
      <c r="L20" s="37" t="inlineStr">
        <is>
          <t>WASHER AND DRYER ON TENANTS FLOOR DOES NOT WORKSTILL HAS BED BUGS AFTER TREATMENTS</t>
        </is>
      </c>
    </row>
    <row r="21" ht="48" customHeight="1">
      <c r="A21" s="4" t="inlineStr">
        <is>
          <t>1420 E Howell St</t>
        </is>
      </c>
      <c r="B21" s="33" t="n">
        <v>1</v>
      </c>
      <c r="C21" s="6" t="n">
        <v>1</v>
      </c>
      <c r="D21" s="38" t="n">
        <v>1</v>
      </c>
      <c r="E21" s="6" t="inlineStr">
        <is>
          <t>2025 DEC 2</t>
        </is>
      </c>
      <c r="F21" s="6" t="inlineStr">
        <is>
          <t>2025 DEC 0</t>
        </is>
      </c>
      <c r="G21" s="35" t="inlineStr">
        <is>
          <t>no</t>
        </is>
      </c>
      <c r="H21" s="35" t="inlineStr">
        <is>
          <t>no</t>
        </is>
      </c>
      <c r="I21" s="36" t="inlineStr">
        <is>
          <t>1062246-VI</t>
        </is>
      </c>
      <c r="J21" s="36" t="inlineStr">
        <is>
          <t>015289-25CP</t>
        </is>
      </c>
      <c r="K21" s="37" t="inlineStr">
        <is>
          <t>THE ELEVATOR HAS BEEN OUT FOR A MONTH AND AFTER TWO EMAILS HAVE NOT RECEIVED ANY COMMUNICATION. I LI</t>
        </is>
      </c>
      <c r="L21" s="37" t="inlineStr">
        <is>
          <t>THERE IS ONGOING PACKAGE THEFT OCCURRING INSIDE THE SECURED PACKAGE ROOM OF THE BUILDING. MULTIPLE D</t>
        </is>
      </c>
    </row>
    <row r="22" ht="48" customHeight="1">
      <c r="A22" s="4" t="inlineStr">
        <is>
          <t>1814 E Denny Way</t>
        </is>
      </c>
      <c r="B22" s="33" t="n">
        <v>1</v>
      </c>
      <c r="C22" s="6" t="n">
        <v>1</v>
      </c>
      <c r="D22" s="38" t="n">
        <v>1</v>
      </c>
      <c r="E22" s="6" t="inlineStr">
        <is>
          <t>2025 DEC 2</t>
        </is>
      </c>
      <c r="F22" s="6" t="inlineStr">
        <is>
          <t>2025 DEC 2</t>
        </is>
      </c>
      <c r="G22" s="35" t="inlineStr">
        <is>
          <t>no</t>
        </is>
      </c>
      <c r="H22" s="35" t="inlineStr">
        <is>
          <t>no</t>
        </is>
      </c>
      <c r="I22" s="36" t="inlineStr">
        <is>
          <t>1062243-VI</t>
        </is>
      </c>
      <c r="J22" s="36" t="inlineStr">
        <is>
          <t>016082-25CP</t>
        </is>
      </c>
      <c r="K22" s="37" t="inlineStr">
        <is>
          <t>ROTTEN WOOD STEPS. SCREWS STICKING UP OUT OF MISSING WOOD HANDRAILS.UNTESTED AND LEAKING BACKFLOW PR</t>
        </is>
      </c>
      <c r="L22" s="37" t="inlineStr">
        <is>
          <t>RENT INCREASE</t>
        </is>
      </c>
    </row>
    <row r="23" ht="48" customHeight="1">
      <c r="A23" s="4" t="inlineStr">
        <is>
          <t>2820 Ne 127Th St</t>
        </is>
      </c>
      <c r="B23" s="33" t="n">
        <v>1</v>
      </c>
      <c r="C23" s="6" t="n">
        <v>1</v>
      </c>
      <c r="D23" s="38" t="n">
        <v>1</v>
      </c>
      <c r="E23" s="6" t="inlineStr">
        <is>
          <t>2025 JUN 2</t>
        </is>
      </c>
      <c r="F23" s="6" t="inlineStr">
        <is>
          <t>2025 DEC 0</t>
        </is>
      </c>
      <c r="G23" s="35" t="inlineStr">
        <is>
          <t>no</t>
        </is>
      </c>
      <c r="H23" s="35" t="inlineStr">
        <is>
          <t>no</t>
        </is>
      </c>
      <c r="I23" s="36" t="inlineStr">
        <is>
          <t>1061185-VI</t>
        </is>
      </c>
      <c r="J23" s="36" t="inlineStr">
        <is>
          <t>015355-25CP</t>
        </is>
      </c>
      <c r="K23" s="37" t="inlineStr">
        <is>
          <t>ELEVATOR IS OUT. ELDERLY IN BLDG THEY ARE IN WHEELCHAIRS. PEOPLE CAN'T GET OUT OF BLDG IN AN EMERGEN</t>
        </is>
      </c>
      <c r="L23" s="37" t="inlineStr">
        <is>
          <t>INFESTATION OF COCKROACHES IN UNIT, HAS REACHED OUT TO MANAGEMENT/-AND LANDLORD TO NO AVAIL</t>
        </is>
      </c>
    </row>
    <row r="24" ht="48" customHeight="1">
      <c r="A24" s="4" t="inlineStr">
        <is>
          <t>4016 37Th Ave Sw</t>
        </is>
      </c>
      <c r="B24" s="33" t="n">
        <v>1</v>
      </c>
      <c r="C24" s="6" t="n">
        <v>1</v>
      </c>
      <c r="D24" s="38" t="n">
        <v>1</v>
      </c>
      <c r="E24" s="6" t="inlineStr">
        <is>
          <t>2025 JUL 3</t>
        </is>
      </c>
      <c r="F24" s="6" t="inlineStr">
        <is>
          <t>2025 JUL 0</t>
        </is>
      </c>
      <c r="G24" s="35" t="inlineStr">
        <is>
          <t>no</t>
        </is>
      </c>
      <c r="H24" s="35" t="inlineStr">
        <is>
          <t>no</t>
        </is>
      </c>
      <c r="I24" s="36" t="inlineStr">
        <is>
          <t>1061431-VI</t>
        </is>
      </c>
      <c r="J24" s="36" t="inlineStr">
        <is>
          <t>008430-25CP</t>
        </is>
      </c>
      <c r="K24" s="37" t="inlineStr">
        <is>
          <t>HOME BEING RENTED OUT WITH EGRESS/INGRESS/ELECTRICAL ISSUES</t>
        </is>
      </c>
      <c r="L24" s="37" t="inlineStr">
        <is>
          <t>TENANT WOULD LIKE TO KNOW RIGHTS. WHEN TENANT WAS MOVING IN FOR THE FIRST TIME SHE CAME TO THE PROPE</t>
        </is>
      </c>
    </row>
    <row r="25" ht="48" customHeight="1">
      <c r="A25" s="4" t="inlineStr">
        <is>
          <t>415 10Th Ave</t>
        </is>
      </c>
      <c r="B25" s="33" t="n">
        <v>1</v>
      </c>
      <c r="C25" s="6" t="n">
        <v>1</v>
      </c>
      <c r="D25" s="38" t="n">
        <v>1</v>
      </c>
      <c r="E25" s="6" t="inlineStr">
        <is>
          <t>2025 DEC 2</t>
        </is>
      </c>
      <c r="F25" s="6" t="inlineStr">
        <is>
          <t>2025 JUL 0</t>
        </is>
      </c>
      <c r="G25" s="35" t="inlineStr">
        <is>
          <t>no</t>
        </is>
      </c>
      <c r="H25" s="39" t="inlineStr">
        <is>
          <t>YES</t>
        </is>
      </c>
      <c r="I25" s="36" t="inlineStr">
        <is>
          <t>1062253-VI</t>
        </is>
      </c>
      <c r="J25" s="36" t="inlineStr">
        <is>
          <t>008060-25CP</t>
        </is>
      </c>
      <c r="K25" s="37" t="inlineStr">
        <is>
          <t>TOILET CLOGGED FOR 26 DAYS, MANAGEMENT NOT DOING ANYTHING ABOUT IT, MICE EVERYWHERE, ELEVATOR NOT WO</t>
        </is>
      </c>
      <c r="L25" s="37" t="inlineStr">
        <is>
          <t>THE PROPERTY HOUSES TWO TENANTS WHO BLOW LOUD WHISTLES AND SCREAM FROM AROUND 4PM TO 6AM. THEY DO NO</t>
        </is>
      </c>
    </row>
    <row r="26" ht="48" customHeight="1">
      <c r="A26" s="4" t="inlineStr">
        <is>
          <t>4420 36Th Ave S</t>
        </is>
      </c>
      <c r="B26" s="33" t="n">
        <v>1</v>
      </c>
      <c r="C26" s="6" t="n">
        <v>1</v>
      </c>
      <c r="D26" s="38" t="n">
        <v>1</v>
      </c>
      <c r="E26" s="6" t="inlineStr">
        <is>
          <t>2025 DEC 2</t>
        </is>
      </c>
      <c r="F26" s="6" t="inlineStr">
        <is>
          <t>2025 AUG 0</t>
        </is>
      </c>
      <c r="G26" s="35" t="inlineStr">
        <is>
          <t>no</t>
        </is>
      </c>
      <c r="H26" s="35" t="inlineStr">
        <is>
          <t>no</t>
        </is>
      </c>
      <c r="I26" s="36" t="inlineStr">
        <is>
          <t>1062254-VI</t>
        </is>
      </c>
      <c r="J26" s="36" t="inlineStr">
        <is>
          <t>010111-25CP</t>
        </is>
      </c>
      <c r="K26" s="37" t="inlineStr">
        <is>
          <t>ROOF LEAKS, CEILING DAMAGED, FLOOR DAMAGED, ELECTRICAL ISSUES.</t>
        </is>
      </c>
      <c r="L26" s="37" t="inlineStr">
        <is>
          <t>RENT WAS LATE PER OFFICE, CHARGING A LATE FEE OF $10, TENANT DISPUTING THE CHARGE</t>
        </is>
      </c>
    </row>
    <row r="27" ht="48" customHeight="1">
      <c r="A27" s="4" t="inlineStr">
        <is>
          <t>600 E Olive St</t>
        </is>
      </c>
      <c r="B27" s="33" t="n">
        <v>1</v>
      </c>
      <c r="C27" s="6" t="n">
        <v>1</v>
      </c>
      <c r="D27" s="38" t="n">
        <v>1</v>
      </c>
      <c r="E27" s="6" t="inlineStr">
        <is>
          <t>2025 JUL 0</t>
        </is>
      </c>
      <c r="F27" s="6" t="inlineStr">
        <is>
          <t>2025 JUN 3</t>
        </is>
      </c>
      <c r="G27" s="35" t="inlineStr">
        <is>
          <t>no</t>
        </is>
      </c>
      <c r="H27" s="39" t="inlineStr">
        <is>
          <t>YES</t>
        </is>
      </c>
      <c r="I27" s="36" t="inlineStr">
        <is>
          <t>1061276-VI</t>
        </is>
      </c>
      <c r="J27" s="36" t="inlineStr">
        <is>
          <t>007969-25CP</t>
        </is>
      </c>
      <c r="K27" s="37" t="inlineStr">
        <is>
          <t>HEALTH HAZARD IN APARTMENT- COCKROACHES RELATED TO 014240-24CP</t>
        </is>
      </c>
      <c r="L27" s="37" t="inlineStr">
        <is>
          <t>TENANT NEEDING HELP WITH THEIR RIGHTS REGARDING MOVE OUT</t>
        </is>
      </c>
    </row>
    <row r="28" ht="48" customHeight="1">
      <c r="A28" s="4" t="inlineStr">
        <is>
          <t>6609 Sw Admiral Way</t>
        </is>
      </c>
      <c r="B28" s="33" t="n">
        <v>1</v>
      </c>
      <c r="C28" s="6" t="n">
        <v>1</v>
      </c>
      <c r="D28" s="38" t="n">
        <v>1</v>
      </c>
      <c r="E28" s="6" t="inlineStr">
        <is>
          <t>2025 JUL 3</t>
        </is>
      </c>
      <c r="F28" s="6" t="inlineStr">
        <is>
          <t>2025 MAY 1</t>
        </is>
      </c>
      <c r="G28" s="35" t="inlineStr">
        <is>
          <t>no</t>
        </is>
      </c>
      <c r="H28" s="39" t="inlineStr">
        <is>
          <t>YES</t>
        </is>
      </c>
      <c r="I28" s="36" t="inlineStr">
        <is>
          <t>1061425-VI</t>
        </is>
      </c>
      <c r="J28" s="36" t="inlineStr">
        <is>
          <t>005583-25CP</t>
        </is>
      </c>
      <c r="K28" s="37" t="inlineStr">
        <is>
          <t>SINK HOLE IN DRIVEWAY OF APARTMENT COMPLEX</t>
        </is>
      </c>
      <c r="L28" s="37" t="inlineStr">
        <is>
          <t>RENT INCREASE WITHOUT 180DAYS NOTICE, AND HAVE NOTRECEIVED A FORMAL LEASEDOCUMENT.</t>
        </is>
      </c>
    </row>
    <row r="31">
      <c r="A31" s="40" t="inlineStr">
        <is>
          <t>Legend:</t>
        </is>
      </c>
    </row>
    <row r="32">
      <c r="A32" s="41" t="inlineStr">
        <is>
          <t>🔴 Red rows = Repeat violator (2+ housing VIs in 2025)</t>
        </is>
      </c>
    </row>
    <row r="33">
      <c r="A33" s="42" t="inlineStr">
        <is>
          <t>🟡 Amber rows = 2 VIs, not yet flagged repeat</t>
        </is>
      </c>
    </row>
  </sheetData>
  <mergeCells count="4">
    <mergeCell ref="A2:L2"/>
    <mergeCell ref="A32:D32"/>
    <mergeCell ref="A1:L1"/>
    <mergeCell ref="A33:D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14" customWidth="1" min="1" max="1"/>
    <col width="28" customWidth="1" min="2" max="2"/>
    <col width="20" customWidth="1" min="3" max="3"/>
    <col width="16" customWidth="1" min="4" max="4"/>
    <col width="55" customWidth="1" min="5" max="5"/>
  </cols>
  <sheetData>
    <row r="1">
      <c r="A1" s="20" t="inlineStr">
        <is>
          <t>7910 Rainier Ave S — Full Enforcement &amp; Complaint History</t>
        </is>
      </c>
    </row>
    <row r="2">
      <c r="A2" s="43" t="inlineStr">
        <is>
          <t>Owner: J&amp;E Apartments LLC (PO Box 18015 #7, Seattle WA 98118) · Reg Agent: Phyllis Boyd · APN: 7701400030</t>
        </is>
      </c>
    </row>
    <row r="3" ht="10" customHeight="1"/>
    <row r="4" ht="28" customHeight="1">
      <c r="A4" s="3" t="inlineStr">
        <is>
          <t>Date</t>
        </is>
      </c>
      <c r="B4" s="3" t="inlineStr">
        <is>
          <t>Record Number</t>
        </is>
      </c>
      <c r="C4" s="3" t="inlineStr">
        <is>
          <t>Record Type</t>
        </is>
      </c>
      <c r="D4" s="3" t="inlineStr">
        <is>
          <t>Status</t>
        </is>
      </c>
      <c r="E4" s="3" t="inlineStr">
        <is>
          <t>Description / Notes</t>
        </is>
      </c>
    </row>
    <row r="5" ht="42" customHeight="1">
      <c r="A5" s="6" t="inlineStr">
        <is>
          <t>03/07/2006</t>
        </is>
      </c>
      <c r="B5" s="4" t="inlineStr">
        <is>
          <t>001706-06CP</t>
        </is>
      </c>
      <c r="C5" s="44" t="inlineStr">
        <is>
          <t>Code Compliance Complaint</t>
        </is>
      </c>
      <c r="D5" s="45" t="inlineStr">
        <is>
          <t>Completed</t>
        </is>
      </c>
      <c r="E5" s="37" t="inlineStr">
        <is>
          <t>Early complaint record on file</t>
        </is>
      </c>
    </row>
    <row r="6" ht="42" customHeight="1">
      <c r="A6" s="46" t="inlineStr">
        <is>
          <t>04/27/1988</t>
        </is>
      </c>
      <c r="B6" s="47" t="inlineStr">
        <is>
          <t>EQP-BP-01446</t>
        </is>
      </c>
      <c r="C6" s="48" t="inlineStr">
        <is>
          <t>Boiler Certification</t>
        </is>
      </c>
      <c r="D6" s="49" t="inlineStr">
        <is>
          <t>⚠ Temporarily Out of Service</t>
        </is>
      </c>
      <c r="E6" s="50" t="inlineStr">
        <is>
          <t>CIS BOILER — flagged 1988, status never updated in public record</t>
        </is>
      </c>
    </row>
    <row r="7" ht="42" customHeight="1">
      <c r="A7" s="46" t="inlineStr">
        <is>
          <t>04/27/1988</t>
        </is>
      </c>
      <c r="B7" s="47" t="inlineStr">
        <is>
          <t>EQP-BP-01447</t>
        </is>
      </c>
      <c r="C7" s="48" t="inlineStr">
        <is>
          <t>Boiler Certification</t>
        </is>
      </c>
      <c r="D7" s="49" t="inlineStr">
        <is>
          <t>⚠ Operating Without Certificate</t>
        </is>
      </c>
      <c r="E7" s="50" t="inlineStr">
        <is>
          <t>EXP TANK — flagged 1988, operating out of compliance</t>
        </is>
      </c>
    </row>
    <row r="8" ht="42" customHeight="1">
      <c r="A8" s="51" t="inlineStr">
        <is>
          <t>03/01/2011</t>
        </is>
      </c>
      <c r="B8" s="9" t="inlineStr">
        <is>
          <t>001570-11CP</t>
        </is>
      </c>
      <c r="C8" s="52" t="inlineStr">
        <is>
          <t>Code Compliance Complaint</t>
        </is>
      </c>
      <c r="D8" s="53" t="inlineStr">
        <is>
          <t>Completed</t>
        </is>
      </c>
      <c r="E8" s="54" t="inlineStr">
        <is>
          <t>HBMC violations: cockroach infestation, water damage ceiling and wall, defective electrical outlet</t>
        </is>
      </c>
    </row>
    <row r="9" ht="42" customHeight="1">
      <c r="A9" s="6" t="inlineStr">
        <is>
          <t>03/16/2011</t>
        </is>
      </c>
      <c r="B9" s="4" t="inlineStr">
        <is>
          <t>1025014-VI</t>
        </is>
      </c>
      <c r="C9" s="44" t="inlineStr">
        <is>
          <t>Notice of Violation</t>
        </is>
      </c>
      <c r="D9" s="45" t="inlineStr">
        <is>
          <t>Completed</t>
        </is>
      </c>
      <c r="E9" s="37" t="inlineStr">
        <is>
          <t>HBMC violations — cockroach infestation, water damage, defective elec outlet, no garbage/litter observed</t>
        </is>
      </c>
    </row>
    <row r="10" ht="42" customHeight="1">
      <c r="A10" s="51" t="inlineStr">
        <is>
          <t>12/23/2015</t>
        </is>
      </c>
      <c r="B10" s="9" t="inlineStr">
        <is>
          <t>007777-15CP</t>
        </is>
      </c>
      <c r="C10" s="52" t="inlineStr">
        <is>
          <t>Code Compliance Complaint</t>
        </is>
      </c>
      <c r="D10" s="53" t="inlineStr">
        <is>
          <t>Completed</t>
        </is>
      </c>
      <c r="E10" s="54" t="inlineStr">
        <is>
          <t>Roach/mice infestation, broken ceiling covering in bathroom, door weatherstrip, laundry room broken walls, stairway door not self-closing</t>
        </is>
      </c>
    </row>
    <row r="11" ht="42" customHeight="1">
      <c r="A11" s="6" t="inlineStr">
        <is>
          <t>02/03/2016</t>
        </is>
      </c>
      <c r="B11" s="4" t="inlineStr">
        <is>
          <t>1036666-VI</t>
        </is>
      </c>
      <c r="C11" s="44" t="inlineStr">
        <is>
          <t>Notice of Violation</t>
        </is>
      </c>
      <c r="D11" s="45" t="inlineStr">
        <is>
          <t>Completed</t>
        </is>
      </c>
      <c r="E11" s="37" t="inlineStr">
        <is>
          <t>HBMC: same issues as 007777-15CP — roach/mice, broken ceiling bathroom, front door, laundry room, stairway</t>
        </is>
      </c>
    </row>
    <row r="12" ht="42" customHeight="1">
      <c r="A12" s="51" t="inlineStr">
        <is>
          <t>11/17/2025</t>
        </is>
      </c>
      <c r="B12" s="9" t="inlineStr">
        <is>
          <t>015880-25CP</t>
        </is>
      </c>
      <c r="C12" s="52" t="inlineStr">
        <is>
          <t>Code Compliance Complaint</t>
        </is>
      </c>
      <c r="D12" s="53" t="inlineStr">
        <is>
          <t>Open Duplicate</t>
        </is>
      </c>
      <c r="E12" s="54" t="inlineStr">
        <is>
          <t>Landlord threatening eviction while dealing with infestations (cockroaches, rodents) — duplicate of 015231</t>
        </is>
      </c>
    </row>
    <row r="13" ht="42" customHeight="1">
      <c r="A13" s="6" t="inlineStr">
        <is>
          <t>12/04/2025</t>
        </is>
      </c>
      <c r="B13" s="4" t="inlineStr">
        <is>
          <t>015231-25CP</t>
        </is>
      </c>
      <c r="C13" s="44" t="inlineStr">
        <is>
          <t>Code Compliance Complaint</t>
        </is>
      </c>
      <c r="D13" s="45" t="inlineStr">
        <is>
          <t>Completed</t>
        </is>
      </c>
      <c r="E13" s="37" t="inlineStr">
        <is>
          <t>Rodents/insects in apartment, wants inspection, heat barely works, thinks not up to code</t>
        </is>
      </c>
    </row>
    <row r="14" ht="42" customHeight="1">
      <c r="A14" s="24" t="inlineStr">
        <is>
          <t>12/24/2025</t>
        </is>
      </c>
      <c r="B14" s="22" t="inlineStr">
        <is>
          <t>1062255-VI</t>
        </is>
      </c>
      <c r="C14" s="55" t="inlineStr">
        <is>
          <t>Notice of Violation (Active)</t>
        </is>
      </c>
      <c r="D14" s="56" t="inlineStr">
        <is>
          <t>🔴 NOV Issued</t>
        </is>
      </c>
      <c r="E14" s="28" t="inlineStr">
        <is>
          <t>UNIT 301 Infestation — 301/CA HBMC. Rodents/insects/heat. Correction deadline: January 31, 2026</t>
        </is>
      </c>
    </row>
    <row r="15" ht="42" customHeight="1">
      <c r="A15" s="6" t="inlineStr">
        <is>
          <t>01/13/2026</t>
        </is>
      </c>
      <c r="B15" s="4" t="inlineStr">
        <is>
          <t>000600-26CP</t>
        </is>
      </c>
      <c r="C15" s="44" t="inlineStr">
        <is>
          <t>Code Compliance Complaint</t>
        </is>
      </c>
      <c r="D15" s="45" t="inlineStr">
        <is>
          <t>Completed</t>
        </is>
      </c>
      <c r="E15" s="37" t="inlineStr">
        <is>
          <t>POTA INRENT — Property Owner Tenant Assistance intake complaint, January 2026</t>
        </is>
      </c>
    </row>
    <row r="18" ht="80" customHeight="1">
      <c r="A18" s="57" t="inlineStr">
        <is>
          <t>ANALYST NOTE: This property shows a 15-year recurrence pattern. Identical violations (roach/rodent infestation, structural/maintenance deficiencies) were cited in 2011, 2016, and again in December 2025. Both boiler equipment records have shown non-compliant status since 1988 with no resolution in the public record. The property appears to have been RIO-registered and re-registered throughout this period. The December 2025 NOV (1062255-VI) correction deadline was January 31, 2026 — correction status as of March 13, 2026 is not confirmed in the dataset. This pattern raises a direct question about whether RIO renewal conditions are being enforced or tracked against outstanding HBMC violations.</t>
        </is>
      </c>
    </row>
  </sheetData>
  <mergeCells count="3">
    <mergeCell ref="A2:E2"/>
    <mergeCell ref="A1:E1"/>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2026-03-13T21:08:45Z</dcterms:created>
  <dcterms:modified xmlns:dcterms="http://purl.org/dc/terms/" xmlns:xsi="http://www.w3.org/2001/XMLSchema-instance" xsi:type="dcterms:W3CDTF">2026-03-13T21:08:45Z</dcterms:modified>
</cp:coreProperties>
</file>